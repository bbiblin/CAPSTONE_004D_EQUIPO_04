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elén\Downloads\"/>
    </mc:Choice>
  </mc:AlternateContent>
  <xr:revisionPtr revIDLastSave="0" documentId="8_{90FB07EB-6486-46DB-9755-42A488A66EC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equisitos no funcionales" sheetId="1" r:id="rId1"/>
    <sheet name="Resumen" sheetId="2" r:id="rId2"/>
  </sheets>
  <definedNames>
    <definedName name="_xlnm._FilterDatabase" localSheetId="0" hidden="1">'Requisitos no funcionales'!$A$1:$J$26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2" l="1"/>
  <c r="B18" i="2"/>
  <c r="B17" i="2"/>
  <c r="B16" i="2"/>
  <c r="B20" i="2" s="1"/>
  <c r="B12" i="2"/>
  <c r="B11" i="2"/>
  <c r="B10" i="2"/>
  <c r="B13" i="2" s="1"/>
  <c r="C6" i="2"/>
  <c r="B6" i="2"/>
  <c r="C5" i="2"/>
  <c r="B5" i="2"/>
  <c r="C4" i="2"/>
  <c r="B4" i="2"/>
  <c r="C3" i="2"/>
  <c r="C7" i="2" s="1"/>
  <c r="B3" i="2"/>
  <c r="B7" i="2" s="1"/>
</calcChain>
</file>

<file path=xl/sharedStrings.xml><?xml version="1.0" encoding="utf-8"?>
<sst xmlns="http://schemas.openxmlformats.org/spreadsheetml/2006/main" count="285" uniqueCount="208">
  <si>
    <t>ID</t>
  </si>
  <si>
    <t>Categoría</t>
  </si>
  <si>
    <t>Nombre del requisito</t>
  </si>
  <si>
    <t>Descripción</t>
  </si>
  <si>
    <t>Justificación</t>
  </si>
  <si>
    <t>Criterio de aceptación</t>
  </si>
  <si>
    <t>Método de verificación</t>
  </si>
  <si>
    <t>Prioridad</t>
  </si>
  <si>
    <t>Estado actual</t>
  </si>
  <si>
    <t>Observaciones</t>
  </si>
  <si>
    <t>RNF-SEG-001</t>
  </si>
  <si>
    <t>Seguridad</t>
  </si>
  <si>
    <t>Autenticación de usuarios</t>
  </si>
  <si>
    <t>El sistema deberá autenticar a los usuarios mediante correo electrónico y contraseña a través de Supabase Auth, y requerir confirmación del correo al registrarse. El acceso sin sesión permite solo consultas públicas del mapa.</t>
  </si>
  <si>
    <t>Todo aporte (reportar, votar, denunciar) debe vincularse a una identidad verificada para mantener trazabilidad, prevenir suplantación y asegurar la moderación por parte de los administradores.</t>
  </si>
  <si>
    <t>Un usuario puede registrarse con email+contraseña, recibe pantalla de confirmación de correo, y puede iniciar/cerrar sesión. Sin sesión no puede crear, votar ni denunciar.</t>
  </si>
  <si>
    <t>Inspección de supabase.ts (signUp/signIn/signOut) y de la configuración de Supabase Auth; prueba manual de registro, verificación de email y login.</t>
  </si>
  <si>
    <t>Alta</t>
  </si>
  <si>
    <t>Implementado</t>
  </si>
  <si>
    <t>El registro se realiza con Supabase Auth (email/password + pantalla de confirmación). El superusuario de base de datos para BI (bi_reader) se autentica aparte, por conexión PostgreSQL.</t>
  </si>
  <si>
    <t>RNF-SEG-002</t>
  </si>
  <si>
    <t>Autorización por roles (usuario/administrador)</t>
  </si>
  <si>
    <t>El sistema deberá aplicar autorización por roles definidos en profiles.role (user/admin). Las operaciones administrativas (cambiar estado, gestionar denuncias, ver auditoría) y las rutas del frontend estarán restringidas al rol admin.</t>
  </si>
  <si>
    <t>El rol admin debe moderar y resolver denuncias/incidencias, mientras los usuarios finales solo gestionan sus propios datos; separar ambos evita que usuarios comunes accedan a funciones administrativas.</t>
  </si>
  <si>
    <t>Con rol user no se puede acceder a /admin ni ver audit_log/denuncias; con rol admin sí. getAdminIncidents y la gestión de denuncias requieren rol admin.</t>
  </si>
  <si>
    <t>Inspección de App.tsx (protección de rutas por perfil), AdminPage.tsx y políticas RLS en 00_esquema_actual.sql; prueba manual de acceso con ambos roles.</t>
  </si>
  <si>
    <t>Rutas protegidas en frontend y políticas RLS en backend. La creación del rol admin es manual/curada (trigger crea rol user por defecto).</t>
  </si>
  <si>
    <t>RNF-SEG-003</t>
  </si>
  <si>
    <t>RLS granular en todas las tablas</t>
  </si>
  <si>
    <t>El sistema deberá tener Row Level Security habilitado en todas las tablas (profiles, incidents, incident_votes, incident_reports, audit_log, terms_acceptance_log), con políticas que permitan a cada usuario ver/crear/actualizar solo sus propios registros y restrinjan las operaciones administrativas al rol admin.</t>
  </si>
  <si>
    <t>El RLS es la barrera de autorización a nivel de base de datos: impide accesos no autorizados aunque se eluda el frontend, y garantiza que cada usuario solo opere sobre sus datos y el admin sobre los de la comunidad.</t>
  </si>
  <si>
    <t>Cada tabla tiene RLS activo con políticas SELECT/INSERT/UPDATE/DELETE coherentes con el rol; las vistas con security_invoker=true respetan el RLS de las tablas base.</t>
  </si>
  <si>
    <t>Inspección de 00_esquema_actual.sql (enable row level security en cada tabla, políticas por rol) y de 18_terms_consent.sql (endurecimiento); prueba de que un usuario no puede leer/editar datos ajenos.</t>
  </si>
  <si>
    <t>El RLS restringe además la creación de reportes, votos y denuncias (requiere consentimiento) y mantiene la auditoría visible solo para admin.</t>
  </si>
  <si>
    <t>RNF-SEG-004</t>
  </si>
  <si>
    <t>Consentimiento obligatorio de términos y fotografías</t>
  </si>
  <si>
    <t>El sistema deberá impedir que un usuario aporte datos (crear reporte, votar, denunciar o subir fotografías) sin haber aceptado los Términos y Condiciones y, para fotografías, sin consentimiento expreso de cesión de imágenes. Esta restricción deberá aplicarse en la capa RLS, no solo en el frontend.</t>
  </si>
  <si>
    <t>Evita que se eludan los términos y el consentimiento fotográfico (necesarios para el modelo de negocio de venta del dato) y asegura el cumplimiento legal de la cesión de imágenes.</t>
  </si>
  <si>
    <t>Un usuario sin accepted_terms_at no puede insertar en incidents/incident_votes/incident_reports; sin accepted_photo_consent_at no puede subir fotografías (image_url no nula). El frontend muestra el modal de consentimiento antes de reportar.</t>
  </si>
  <si>
    <t>Inspección de 18_terms_consent.sql (políticas RLS robustecidas, trigger handle_new_user, funcion accept_terms) y de App.tsx/ReportPage.tsx (TermsGate). Prueba intentando insertar sin consentimiento.</t>
  </si>
  <si>
    <t>Registra historial en terms_acceptance_log (solo admin puede leerlo). El modal puede cerrarse sin aceptar, pero impide aportar datos.</t>
  </si>
  <si>
    <t>RNF-SEG-005</t>
  </si>
  <si>
    <t>Validación y sanitización de entradas</t>
  </si>
  <si>
    <t>El sistema deberá validar los datos de entrada en el frontend (categoría permitida, descripción de 1 a 500 caracteres, severidad 1-3, fecha válida, coordenadas) y sanitizar el texto de la descripción reemplazando lenguaje ofensivo mediante filtrado local antes de guardar.</t>
  </si>
  <si>
    <t>Reduce el riesgo de datos malformados o contenidos inapropiados y mantiene la coherencia del dataset, tanto para la comunidad como para el producto de datos (BI).</t>
  </si>
  <si>
    <t>La descripción no supera 500 caracteres y se garantiza que las palabras ofensivas se reemplazan por ***; la imagen solo admite JPG/PNG/WebP y ≤2MB tras compresión. Los checks de la base de datos (category, length, severity) rechazan valores no válidos.</t>
  </si>
  <si>
    <t>Inspección de textFilter.ts (bad-words + profanity-words.json), imageCompression.ts y las constraints en 00_esquema_actual.sql; prueba introduciendo una descripción larga/ofensiva y un tipo de archivo inválido.</t>
  </si>
  <si>
    <t>La sanitización es local (bad-words + lista en español/modismos). El filtro detecta tildes, mayúsculas, letras repetidas y separadores; no anula la descripción completa.</t>
  </si>
  <si>
    <t>RNF-SEG-006</t>
  </si>
  <si>
    <t>Moderación de contenido multimedia</t>
  </si>
  <si>
    <t>El sistema deberá moderar la evidencia fotográfica de forma automática antes de su carga, bloqueando en el cliente imágenes NSFW que superen los umbrales establecidos.</t>
  </si>
  <si>
    <t>Evita publicar imágenes inapropiadas como evidencia, protegiendo a la comunidad y evitando que el producto de datos incorpore contenido no apto.</t>
  </si>
  <si>
    <t>Las imágenes clasificadas con Porn/Hentai &gt;0.6 o Sexy &gt;0.8 se bloquean y el usuario debe reemplazarlas; la imagen bloqueada no se sube al bucket.</t>
  </si>
  <si>
    <t>Inspección de imageModeration.ts (umbrales y carga lazy del modelo nsfwjs) y de ReportPage.tsx (handleImageChange); prueba subiendo una imagen inapropiada.</t>
  </si>
  <si>
    <t>Media</t>
  </si>
  <si>
    <t>Parcialmente implementado</t>
  </si>
  <si>
    <t>La moderación se ejecuta solo en el cliente (nsfwjs/tensorflow), no en servidor, y el rechazo no se persiste en la base de datos. Se desestimó un servicio externo (límite de cuota y dependencia).</t>
  </si>
  <si>
    <t>RNF-SEG-007</t>
  </si>
  <si>
    <t>Protección del producto de datos y gestión de secretos</t>
  </si>
  <si>
    <t>El sistema deberá restringir el acceso a la capa BI (bi.* y public.analytics_*) exclusivamente a roles de lectura (service_role / bi_reader), revocando el acceso a anon y authenticated, y garantizar que las vistas de denuncias no expongan datos personales (sin reported_by). Las claves sensibles no deberán estar expuestas en el repositorio.</t>
  </si>
  <si>
    <t>El dato geo-referenciado es el producto comercial; limitar su lectura y anonimizarlo protege la privacidad de los ciudadanos y evita filtraciones a usuarios finales o a terceros no autorizados.</t>
  </si>
  <si>
    <t>bi.incident_reports_daily no contiene reported_by; anon/authenticated no tienen SELECT sobre las vistas BI; .env* (que contienen VITE_SUPABASE_URL / key) está en .gitignore.</t>
  </si>
  <si>
    <t>Inspección de 00_esquema_actual.sql / 16 / 17 (grants y revoke), 14_bi_reader_role.sql y .gitignore; prueba de acceso de una clave anon a bi.incident_daily.</t>
  </si>
  <si>
    <t>Observación: la contraseña del rol bi_reader está hardcodeada en 14_bi_reader_role.sql (bimovimap2026) y debería parametrizarse/rotarse fuera del repositorio. La clave anon en el frontend es de acceso público por diseño.</t>
  </si>
  <si>
    <t>RNF-REN-001</t>
  </si>
  <si>
    <t>Rendimiento</t>
  </si>
  <si>
    <t>Respuesta de la vista principal del mapa</t>
  </si>
  <si>
    <t>El sistema deberá presentar la vista principal (mapa + lista) en un tiempo de carga aceptable. El tiempo objetivo de carga inicial está pendiente de acordar y validar.</t>
  </si>
  <si>
    <t>El mapa es la pantalla de entrada: una carga lenta degrada la primera impresión y aumenta el abandono de usuarios.</t>
  </si>
  <si>
    <t>Se acordará un objetivo de tiempo de carga de la vista principal sobre una conexión de referencia; el cumplimiento se evaluará midiendo la carga inicial (primer render interactivo del mapa).</t>
  </si>
  <si>
    <t>Prueba de rendimiento (Lighthouse / Network) en el entorno de despliegue, midiendo el tiempo hasta el primer render interactivo.</t>
  </si>
  <si>
    <t>Por verificar</t>
  </si>
  <si>
    <t>Valor objetivo a acordar (no representado como medición). La vista carga el mapa desde Leaflet/OpenStreetMap (tiles externos), lo que condiciona el tiempo percibido.</t>
  </si>
  <si>
    <t>RNF-REN-002</t>
  </si>
  <si>
    <t>Respuesta de la consulta de incidencias por viewport</t>
  </si>
  <si>
    <t>El sistema deberá responder la consulta de incidencias del área visible en un tiempo acotado. El tiempo objetivo está pendiente de acordar y validar.</t>
  </si>
  <si>
    <t>El mapa consulta datos al mover/zoomear; una consulta lenta produce saltos y congelamientos en la interacción.</t>
  </si>
  <si>
    <t>Se acordará un objetivo de latencia para get_incidents_in_bounds; la consulta devuelve como máximo el tope configurado (500) y el frontend la amortigua con debounce (250 ms).</t>
  </si>
  <si>
    <t>Medición del tiempo de respuesta de la RPC get_incidents_in_bounds en Supabase para distintos volúmenes de datos y pruebas manuales de pan/zoom.</t>
  </si>
  <si>
    <t>El margen depende del volumen de datos y del plan de Supabase. La carga por viewport es una medida implementada para acotar el costo por consulta.</t>
  </si>
  <si>
    <t>RNF-REN-003</t>
  </si>
  <si>
    <t>Respuesta de operaciones frecuentes</t>
  </si>
  <si>
    <t>El sistema deberá responder las operaciones de crear reporte, votar (confirmar/rechazar/resuelta) y denunciar en un tiempo acotado. Los tiempos objetivo están pendientes de acordar y validar.</t>
  </si>
  <si>
    <t>Son las acciones principales que realiza la comunidad; una demora frustra al usuario y puede llevar a reintentos o duplicados.</t>
  </si>
  <si>
    <t>Se acordará un objetivo de latencia para crear reporte, votar y denunciar; la interfaz muestra estados de carga y contrapone las operaciones exitosas/erróneas.</t>
  </si>
  <si>
    <t>Prueba de rendimiento de las operaciones (createIncident, voteOnIncident, reportIncident) midiendo latencia end-to-end con distintos tamaños de imagen y datos.</t>
  </si>
  <si>
    <t>El tiempo de crear un reporte depende además de la subida/comprimido de imagen y del geocoding/reverse-geocoding (Nominatim). Objetivo a acordar.</t>
  </si>
  <si>
    <t>RNF-REN-004</t>
  </si>
  <si>
    <t>Carga de datos acotada por viewport, clustering y heatmap</t>
  </si>
  <si>
    <t>El sistema deberá cargar únicamente los reportes del área visible en lugar de todos a la vez, y usar clustering a zoom alto y heatmap a zoom bajo para no renderizar miles de marcadores.</t>
  </si>
  <si>
    <t>Evita la degradación del mapa y del explorador al crecer el número de reportes, manteniendo una interacción fluida.</t>
  </si>
  <si>
    <t>La consulta por bbox devuelve ≤500 registros por viewport; el estado en memoria se limita (tope 400); a zoom ≤13 se pinta heatmap y por encima clustering+marcadores.</t>
  </si>
  <si>
    <t>Inspección de 19_mapa_masivo.sql, MapView.tsx, HomePage.tsx y constants.ts; prueba manual de pan/zoom con datasets grandes.</t>
  </si>
  <si>
    <t>El heatmap se calcula sobre el estado en memoria (≤400), por lo que no refleja el total real si hay más de 500 reportes visibles (ver RNF-ESC-002).</t>
  </si>
  <si>
    <t>RNF-REN-005</t>
  </si>
  <si>
    <t>Compresión de imágenes antes de subir</t>
  </si>
  <si>
    <t>El sistema deberá comprimir las imágenes a un máximo de 2MB antes de subirlas a Storage, limitando la penalización en el tiempo de carga y el consumo de almacenamiento.</t>
  </si>
  <si>
    <t>La evidencia fotográfica es la parte más pesada de un reporte; comprimirla acelera la subida y reduce el costo de almacenamiento y ancho de banda.</t>
  </si>
  <si>
    <t>Las imágenes superiores a 2MB y ≤30MB se comprimen (dimensión ≤1600px, calidad ajustada) hasta quedar ≤2MB; si no es posible, se rechaza con mensaje claro.</t>
  </si>
  <si>
    <t>Inspección de imageCompression.ts y constants.ts; prueba subiendo una imagen de gran tamaño y comprobando el archivo final.</t>
  </si>
  <si>
    <t>Cualquier imagen se convierte a JPEG. La compresión se ejecuta en el navegador (canvas) antes del upload.</t>
  </si>
  <si>
    <t>RNF-REN-006</t>
  </si>
  <si>
    <t>Latencia de servicios externos (tiles y geocoding)</t>
  </si>
  <si>
    <t>El sistema deberá manejar de forma aceptable la latencia de los servicios externos de los que depende (tiles de OpenStreetMap y geocoding/geocodificación de Nominatim), sin bloquear la interacción del usuario.</t>
  </si>
  <si>
    <t>El map y la búsqueda de ubicación dependen de servicios de terceros cuya latencia varía; si no se controla, afecta la experiencia y puede inducir a errores en la selección de puntos.</t>
  </si>
  <si>
    <t>Las llamadas a Nominatim se usan con debounce, límite de resultados y manejo de errores; el mapa carga los tiles de OSM. Se acordará un objetivo de latencia para búsqueda/geocodificación.</t>
  </si>
  <si>
    <t>Medición de la latencia de los endpoints de Nominatim y de los tiles en distintos entornos; revisión del manejo de errores en searchPlaces/reverseGeocode.</t>
  </si>
  <si>
    <t>Son servicios públicos de terceros sin SLA garantizado; la disponibilidad y latencia no están bajo control del proyecto (ver RNF-DIS-001).</t>
  </si>
  <si>
    <t>RNF-ESC-001</t>
  </si>
  <si>
    <t>Escalabilidad</t>
  </si>
  <si>
    <t>Mapa sin degradación al crecer el volumen de reportes</t>
  </si>
  <si>
    <t>El sistema deberá mantener el rendimiento del mapa cuando aumente el número de incidencias, mediante carga por viewport, límites de filas y representación agrupada (clustering/heatmap).</t>
  </si>
  <si>
    <t>Es el escenario esperado de crecimiento; evitar que el mapa se sature con miles de reportes es crítico para la usabilidad.</t>
  </si>
  <si>
    <t>Con un volumen creciente de reportes, la consulta por viewport queda acotada (≤500), el estado en memoria por ≤400 y la representación se adapta por zoom.</t>
  </si>
  <si>
    <t>Prueba de carga con datasets crecientes (seed masivo) midiendo tiempos de respuesta y fluidez del mapa.</t>
  </si>
  <si>
    <t>La arquitectura está diseñada para no cargar todos los reportes a la vez. Quedan pendientes la caché por zona FIFO (Fase 2) y los agregados por celda (Fase 3).</t>
  </si>
  <si>
    <t>RNF-ESC-002</t>
  </si>
  <si>
    <t>Agregados que reflejen el total real del heatmap</t>
  </si>
  <si>
    <t>El sistema deberá permitir que el mapa de calor refleje la densidad real aunque haya más de 500 incidencias en el viewport, mediante agregados por celda/hexágono.</t>
  </si>
  <si>
    <t>El heatmap calculado en cliente sobre el estado en memoria puede subestimar la densidad en zonas muy cargadas, lo que sesga el análisis visual de los ciudadanos.</t>
  </si>
  <si>
    <t>Existe un mecanismo de agregación por área (RPC de densidad) que se usa en el map de calor a zoom bajo; es el plan de Fase 3 del backlog.</t>
  </si>
  <si>
    <t>Inspección del backlog (PRODUCT-BACKLOG.md Fase 3) y de RPCs; prueba de visualización con &gt;500 reportes en un viewport.</t>
  </si>
  <si>
    <t>Pendiente de implementación</t>
  </si>
  <si>
    <t>Pendiente de implementación. Actualmente el heatmap se calcula del estado en memoria limitado a 400, lo que no refleja el total en zonas de alta densidad.</t>
  </si>
  <si>
    <t>RNF-ESC-003</t>
  </si>
  <si>
    <t>Índices en las consultas principales</t>
  </si>
  <si>
    <t>El sistema deberá disponer de índices en las columnas más consultadas para que las consultas de mapa, filtros y votos no degraden el rendimiento al crecer los datos.</t>
  </si>
  <si>
    <t>Las consultas de ubicación, estado, categoría, reportes y votos son las de mayor uso; los índices evitan escaneos completos con datasets crecientes.</t>
  </si>
  <si>
    <t>Existen índices sobre location, status, category, created_at, votes (incident_id/user_id), reports (incident_id/status) y para el patrón bounds (status, latitude, longitude).</t>
  </si>
  <si>
    <t>Inspección de 00_esquema_actual.sql y 19_mapa_masivo.sql (create index); revisión del plan de consultas (EXPLAIN) en Supabase con datasets crecientes.</t>
  </si>
  <si>
    <t>Los índices están definidos en el esquema; su efectividad efectiva debe validarse con EXPLAIN sobre datos reales.</t>
  </si>
  <si>
    <t>RNF-ESC-004</t>
  </si>
  <si>
    <t>Entrega del dato con límites y paginación</t>
  </si>
  <si>
    <t>El sistema deberá permitir consumir el producto de datos (vistas BI) de forma controlada, mediante límites/paginación y filtros, para no degradar el servidor en consultas de gran volumen.</t>
  </si>
  <si>
    <t>La exportación a BI (CSV/DirectQuery) puede consultar muchos registros; un consumo sin límites puede saturar la base y encarecer el servicio.</t>
  </si>
  <si>
    <t>Se puede filtrar y limitar la exportación (filtros por fecha/estado, límite de resultados) vía PostgREST, y la conexión BI usa un rol de solo lectura.</t>
  </si>
  <si>
    <t>Inspección de 00/17 (vistas y grants), documentación de exportación CSV; prueba de consultas con parámetros de filtro y límite.</t>
  </si>
  <si>
    <t>Hay soporte de filtros/límites en la Data API, pero no existe una paginación formal ni snapshots; la vista se calcula en tiempo real sobre las tablas base.</t>
  </si>
  <si>
    <t>RNF-ESC-005</t>
  </si>
  <si>
    <t>Acceso multi-cliente a la capa BI</t>
  </si>
  <si>
    <t>El sistema deberá soportar la entrega del dato a varios clientes de forma aislada, mediante roles/credenciales dedicados por cliente (o snapsshots segregados), sin comprometer la seguridad entre clientes.</t>
  </si>
  <si>
    <t>El modelo de negocio es la venta del dato a instituciones; aislar el acceso por cliente evita compartir información entre competidores y permite revocar accesos individualmente.</t>
  </si>
  <si>
    <t>Se podrá emitir un rol/credencial de lectura por cliente, de modo que cada uno acceda solo a su producto de datos con privilegios mínimos, y revocar el acceso de un cliente no afecte a otros.</t>
  </si>
  <si>
    <t>Inspección de 14_bi_reader_role.sql (rol único actual) y del backlog (venta multi-cliente); diseño de aprovisionamiento por cliente.</t>
  </si>
  <si>
    <t>Hoy existe un único rol bi_reader compartido por todos los clientes (MVP). El aprovisionamiento por cliente está pendiente y condiciona la venta formal del dato.</t>
  </si>
  <si>
    <t>RNF-ESC-006</t>
  </si>
  <si>
    <t>Capacidad de usuarios concurrentes y límites del servicio</t>
  </si>
  <si>
    <t>El sistema deberá comportarse de forma previsible ante un aumento de usuarios concurrentes, considerando los límites de los servicios de Supabase (Auth, Realtime, PostgREST, Storage).</t>
  </si>
  <si>
    <t>La concurrencia afecta a la autenticación, al canal Realtime (suscripción a cambios) y a la consulta de datos; exceder los límites del plan degradaría el servicio a toda la plataforma.</t>
  </si>
  <si>
    <t>Se identifican y controlan los límites del plan de Supabase (conexiones, usuarios activos, ancho de Realtime) y existe un mecanismo para aumentar capacidad o hacer fallback ante límites.</t>
  </si>
  <si>
    <t>Revisión del plan/configuración de Supabase (límites y cuotas) y prueba de carga simulando usuarios concurrentes; análisis de las suscripciones Realtime.</t>
  </si>
  <si>
    <t>Los límites dependen del plan y de la configuración de Supabase, no verificables desde el repositorio. El frontend usa una única suscripción Realtime al canal de incidencias.</t>
  </si>
  <si>
    <t>RNF-DIS-001</t>
  </si>
  <si>
    <t>Disponibilidad</t>
  </si>
  <si>
    <t>Dependencias de servicios externos</t>
  </si>
  <si>
    <t>El sistema deberá reconocer y gestionar su dependencia de Supabase (Auth, BD, Storage, Realtime) y de servicios externos (tiles de OpenStreetMap, geocodificación Nominatim), documentando su impacto en la continuidad.</t>
  </si>
  <si>
    <t>La plataforma no tiene backend propio; la caída o lentitud de estos servicios afecta directamente la disponibilidad y el funcionamiento del mapa.</t>
  </si>
  <si>
    <t>Se documentan las dependencias externas y su impacto, y se evalúa la magnitud del riesgo para cada servicio en un análisis de disponibilidad.</t>
  </si>
  <si>
    <t>Revisión de la arquitectura (docs) y de las integraciones en supabase.ts; análisis de riesgo por servicio.</t>
  </si>
  <si>
    <t>No existe SLA garantizado para los servicios públicos de OSM/Nominatim. El objetivo de disponibilidad (%) se deja a acordar/validar.</t>
  </si>
  <si>
    <t>RNF-DIS-002</t>
  </si>
  <si>
    <t>Manejo de errores de conexión y red</t>
  </si>
  <si>
    <t>El sistema deberá manejar los errores de conexión con el backend y con los servicios externos de forma controlada, evitando comportamientos silenciosos o estados inconsistentes para el usuario.</t>
  </si>
  <si>
    <t>Frente a caídas de red o del servicio, el usuario debe recibir información clara y no quedar con la interfaz bloqueada o con datos incompletos.</t>
  </si>
  <si>
    <t>Las operaciones fallidas (auth, consultas, subida, geocoding) se detectan y se informan; el frontend muestra mensajes de error o degrade de forma controlada.</t>
  </si>
  <si>
    <t>Inspección del manejo de errores (try/catch) en supabase.ts, ReportPage.tsx, HomePage.tsx y hooks; prueba simulando desconexiones.</t>
  </si>
  <si>
    <t>Varias rutas (geocoding, moderación) hacen catch y devuelven fallback con console.error, sin avisar al usuario. El formulario reporta errores en pantalla (Alert).</t>
  </si>
  <si>
    <t>RNF-DIS-003</t>
  </si>
  <si>
    <t>Recuperación del mapa y geocoding ante fallos</t>
  </si>
  <si>
    <t>El sistema deberá recuperarse con gracia ante fallos de los servicios de mapa y de geocodificación, ofreciendo un valor por defecto o un fallback que no impida usar la funcionalidad principal.</t>
  </si>
  <si>
    <t>Si Nominatim o los tiles fallan, el usuario debería poder seguir localizando/reportando por otro método (GPS o selección manual en el mapa).</t>
  </si>
  <si>
    <t>La búsqueda y geocodificación devuelven resultados vacíos o un valor por defecto ante error, y el mapa/tiles siguen operando; el reporte permite ubicar por GPS o mapa aunque el geocoding falle.</t>
  </si>
  <si>
    <t>Inspección de searchPlaces/reverseGeocode (try/catch) y de ReportPage (selección GPS/mapa); prueba con endpoint de geocoding caído.</t>
  </si>
  <si>
    <t>El geocoding devuelve null ante error (el reporte no pierde la ubicación, pero pierde contexto geográfico). Los tiles de OSM son carga externa sin fallback propio.</t>
  </si>
  <si>
    <t>RNF-DIS-004</t>
  </si>
  <si>
    <t>Avisos al usuario ante servicio no disponible</t>
  </si>
  <si>
    <t>El sistema deberá mostrar mensajes informativos al usuario cuando un servicio no esté disponible, indicando que se reintente más tarde.</t>
  </si>
  <si>
    <t>Evita que el usuario crea que la acción falló por su error o que los datos son incorrectos; mejora la confianza ante incidentes.</t>
  </si>
  <si>
    <t>Existe un mensaje visible (bandera/banner/alerta) cuando falla una operación o un servicio, con indicación de reintentar; o bien se informa el degrade de la funcionalidad.</t>
  </si>
  <si>
    <t>Inspección de los componentes de alerta (Alert, estados de error) y de las distintas pantallas; prueba en escenarios de fallo.</t>
  </si>
  <si>
    <t>En el frontend hay mensajes puntuales (formulario, login), pero no un estado global de disponibilidad ni banners de servicio caído. No se observan health-checks ni alertas.</t>
  </si>
  <si>
    <t>RNF-DIS-005</t>
  </si>
  <si>
    <t>Integridad de datos en operaciones críticas</t>
  </si>
  <si>
    <t>El sistema deberá garantizar la integridad de los datos durante las operaciones críticas (crear reporte, votar, cambiar estado), de forma que una operación no deje el sistema en estado inconsistente.</t>
  </si>
  <si>
    <t>Los votos, estados y denuncias son la fuente del dato que se vende; una corrupción afectaría el análisis y la confiabilidad del producto.</t>
  </si>
  <si>
    <t>Las operaciones clave se validan con constraints (unicidad de voto/denuncia, checks de estado/severidad), se controlan con RLS y se auditan por triggers, evitando duplicados o estados inválidos.</t>
  </si>
  <si>
    <t>Inspección de constraints (unique, check) en 00_esquema_actual.sql y de triggers de auditoría; prueba de votos duplicados y cambios de estado.</t>
  </si>
  <si>
    <t>Constraints de unicidad (incident_id+user_id en votos, incident_id+reported_by en denuncias) y triggers de auditoría; la vista de score se calcula dinámicamente para evitar valores desincronizados.</t>
  </si>
  <si>
    <t>RNF-DIS-006</t>
  </si>
  <si>
    <t>Respaldo, recuperación y supervisión</t>
  </si>
  <si>
    <t>El sistema deberá contar con una estrategia de respaldo/recuperación y mecanismos de supervisión para identificar fallos y restaurar el servicio.</t>
  </si>
  <si>
    <t>La continuidad frente a pérdida de datos o incidentes requiere respaldos y monitoreo; sin ellos, una falla puede implicar pérdida no recuperable del dato comercial.</t>
  </si>
  <si>
    <t>Se acordará y documentará la estrategia de respaldo/recuperación (rollback de migraciones, backups de Supabase) y existirán mecanismos de supervisión/alertas.</t>
  </si>
  <si>
    <t>Revisión de la documentación de migraciones (rollback, backup antes de drop) y verificación de la configuración de backups/supervisión en Supabase.</t>
  </si>
  <si>
    <t>Las migraciones son idempotentes y documentan rollback (backup antes de drop). No se observan health-checks ni mecanismos de alerta implementados; la supervisión depende del plan de Supabase.</t>
  </si>
  <si>
    <t>Resumen — Requisitos no funcionales de Movimap</t>
  </si>
  <si>
    <t>Cantidad de requisitos por categoría</t>
  </si>
  <si>
    <t>Total</t>
  </si>
  <si>
    <t>Distribución por prioridad</t>
  </si>
  <si>
    <t>Baja</t>
  </si>
  <si>
    <t>Distribución por estado actual</t>
  </si>
  <si>
    <t>Cómo interpretar este documento</t>
  </si>
  <si>
    <t>Cada fila de la hoja 'Requisitos no funcionales' representa un requisito no funcional (RNF).</t>
  </si>
  <si>
    <t>Los identificadores siguen la nomenclatura RNF-[CATEGORÍA]-NNN: SEG (seguridad), REN (rendimiento), ESC (escalabilidad), DIS (disponibilidad).</t>
  </si>
  <si>
    <t>Prioridad: Alta / Media / Baja según el impacto y la criticidad para el sistema.</t>
  </si>
  <si>
    <t>Estado actual: Implementado (respaldo en el código), Parcialmente implementado (cubre parte), Pendiente de implementación (en backlog) o Por verificar (requiere validación/medición en el entorno real).</t>
  </si>
  <si>
    <t>Los valores numéricos (tiempos, % de disponibilidad) figuran como objetivos por acordar, no como mediciones reales.</t>
  </si>
  <si>
    <t>Los totales por categoría, prioridad y estado se calculan con fórmulas vinculadas a la hoja principal, por lo que se actualizan de forma automática.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</si>
</sst>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  <font>
      <b/>
      <sz val="14"/>
      <color rgb="FF00323A"/>
      <name val="Calibri"/>
    </font>
    <font>
      <b/>
      <sz val="11"/>
      <name val="Calibri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0323A"/>
      </patternFill>
    </fill>
    <fill>
      <patternFill patternType="solid">
        <fgColor rgb="FFB7D7D1"/>
      </patternFill>
    </fill>
    <fill>
      <patternFill patternType="solid">
        <fgColor rgb="FFF6C9C9"/>
      </patternFill>
    </fill>
    <fill>
      <patternFill patternType="solid">
        <fgColor rgb="FFD9EAD3"/>
      </patternFill>
    </fill>
    <fill>
      <patternFill patternType="solid">
        <fgColor rgb="FFFBE7C6"/>
      </patternFill>
    </fill>
    <fill>
      <patternFill patternType="solid">
        <fgColor rgb="FFCFE3F1"/>
      </patternFill>
    </fill>
    <fill>
      <patternFill patternType="solid">
        <fgColor rgb="FFE2E3E6"/>
      </patternFill>
    </fill>
    <fill>
      <patternFill patternType="solid">
        <fgColor rgb="FFE6DEC9"/>
      </patternFill>
    </fill>
    <fill>
      <patternFill patternType="solid">
        <fgColor rgb="FFE3D5E0"/>
      </patternFill>
    </fill>
    <fill>
      <patternFill patternType="solid">
        <fgColor rgb="FFEFF3F4"/>
      </patternFill>
    </fill>
  </fills>
  <borders count="2">
    <border>
      <left/>
      <right/>
      <top/>
      <bottom/>
      <diagonal/>
    </border>
    <border>
      <left style="thin">
        <color rgb="FFD4DBDE"/>
      </left>
      <right style="thin">
        <color rgb="FFD4DBDE"/>
      </right>
      <top style="thin">
        <color rgb="FFD4DBDE"/>
      </top>
      <bottom style="thin">
        <color rgb="FFD4DBDE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center" vertical="top" wrapText="1"/>
    </xf>
    <xf numFmtId="0" fontId="2" fillId="9" borderId="1" xfId="0" applyFont="1" applyFill="1" applyBorder="1" applyAlignment="1">
      <alignment horizontal="left" vertical="top" wrapText="1"/>
    </xf>
    <xf numFmtId="0" fontId="2" fillId="10" borderId="1" xfId="0" applyFont="1" applyFill="1" applyBorder="1" applyAlignment="1">
      <alignment horizontal="left" vertical="top" wrapText="1"/>
    </xf>
    <xf numFmtId="0" fontId="5" fillId="11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/>
    <xf numFmtId="0" fontId="2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pane ySplit="1" topLeftCell="A8" activePane="bottomLeft" state="frozen"/>
      <selection pane="bottomLeft"/>
    </sheetView>
  </sheetViews>
  <sheetFormatPr baseColWidth="10" defaultColWidth="9.140625" defaultRowHeight="15" x14ac:dyDescent="0.25"/>
  <cols>
    <col min="1" max="2" width="15" customWidth="1"/>
    <col min="3" max="3" width="30" customWidth="1"/>
    <col min="4" max="4" width="52" customWidth="1"/>
    <col min="5" max="7" width="46" customWidth="1"/>
    <col min="8" max="8" width="12" customWidth="1"/>
    <col min="9" max="9" width="18" customWidth="1"/>
    <col min="10" max="10" width="40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0" customHeight="1" x14ac:dyDescent="0.25">
      <c r="A2" s="2" t="s">
        <v>10</v>
      </c>
      <c r="B2" s="3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5" t="s">
        <v>17</v>
      </c>
      <c r="I2" s="6" t="s">
        <v>18</v>
      </c>
      <c r="J2" s="4" t="s">
        <v>19</v>
      </c>
    </row>
    <row r="3" spans="1:10" ht="120" customHeight="1" x14ac:dyDescent="0.25">
      <c r="A3" s="2" t="s">
        <v>20</v>
      </c>
      <c r="B3" s="3" t="s">
        <v>11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5" t="s">
        <v>17</v>
      </c>
      <c r="I3" s="6" t="s">
        <v>18</v>
      </c>
      <c r="J3" s="4" t="s">
        <v>26</v>
      </c>
    </row>
    <row r="4" spans="1:10" ht="120" customHeight="1" x14ac:dyDescent="0.25">
      <c r="A4" s="2" t="s">
        <v>27</v>
      </c>
      <c r="B4" s="3" t="s">
        <v>11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5" t="s">
        <v>17</v>
      </c>
      <c r="I4" s="6" t="s">
        <v>18</v>
      </c>
      <c r="J4" s="4" t="s">
        <v>33</v>
      </c>
    </row>
    <row r="5" spans="1:10" ht="120" customHeight="1" x14ac:dyDescent="0.25">
      <c r="A5" s="2" t="s">
        <v>34</v>
      </c>
      <c r="B5" s="3" t="s">
        <v>11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5" t="s">
        <v>17</v>
      </c>
      <c r="I5" s="6" t="s">
        <v>18</v>
      </c>
      <c r="J5" s="4" t="s">
        <v>40</v>
      </c>
    </row>
    <row r="6" spans="1:10" ht="120" customHeight="1" x14ac:dyDescent="0.25">
      <c r="A6" s="2" t="s">
        <v>41</v>
      </c>
      <c r="B6" s="3" t="s">
        <v>11</v>
      </c>
      <c r="C6" s="4" t="s">
        <v>42</v>
      </c>
      <c r="D6" s="4" t="s">
        <v>43</v>
      </c>
      <c r="E6" s="4" t="s">
        <v>44</v>
      </c>
      <c r="F6" s="4" t="s">
        <v>45</v>
      </c>
      <c r="G6" s="4" t="s">
        <v>46</v>
      </c>
      <c r="H6" s="5" t="s">
        <v>17</v>
      </c>
      <c r="I6" s="6" t="s">
        <v>18</v>
      </c>
      <c r="J6" s="4" t="s">
        <v>47</v>
      </c>
    </row>
    <row r="7" spans="1:10" ht="120" customHeight="1" x14ac:dyDescent="0.25">
      <c r="A7" s="2" t="s">
        <v>48</v>
      </c>
      <c r="B7" s="3" t="s">
        <v>11</v>
      </c>
      <c r="C7" s="4" t="s">
        <v>49</v>
      </c>
      <c r="D7" s="4" t="s">
        <v>50</v>
      </c>
      <c r="E7" s="4" t="s">
        <v>51</v>
      </c>
      <c r="F7" s="4" t="s">
        <v>52</v>
      </c>
      <c r="G7" s="4" t="s">
        <v>53</v>
      </c>
      <c r="H7" s="7" t="s">
        <v>54</v>
      </c>
      <c r="I7" s="7" t="s">
        <v>55</v>
      </c>
      <c r="J7" s="4" t="s">
        <v>56</v>
      </c>
    </row>
    <row r="8" spans="1:10" ht="120" customHeight="1" x14ac:dyDescent="0.25">
      <c r="A8" s="2" t="s">
        <v>57</v>
      </c>
      <c r="B8" s="3" t="s">
        <v>11</v>
      </c>
      <c r="C8" s="4" t="s">
        <v>58</v>
      </c>
      <c r="D8" s="4" t="s">
        <v>59</v>
      </c>
      <c r="E8" s="4" t="s">
        <v>60</v>
      </c>
      <c r="F8" s="4" t="s">
        <v>61</v>
      </c>
      <c r="G8" s="4" t="s">
        <v>62</v>
      </c>
      <c r="H8" s="5" t="s">
        <v>17</v>
      </c>
      <c r="I8" s="6" t="s">
        <v>18</v>
      </c>
      <c r="J8" s="4" t="s">
        <v>63</v>
      </c>
    </row>
    <row r="9" spans="1:10" ht="120" customHeight="1" x14ac:dyDescent="0.25">
      <c r="A9" s="2" t="s">
        <v>64</v>
      </c>
      <c r="B9" s="8" t="s">
        <v>65</v>
      </c>
      <c r="C9" s="4" t="s">
        <v>66</v>
      </c>
      <c r="D9" s="4" t="s">
        <v>67</v>
      </c>
      <c r="E9" s="4" t="s">
        <v>68</v>
      </c>
      <c r="F9" s="4" t="s">
        <v>69</v>
      </c>
      <c r="G9" s="4" t="s">
        <v>70</v>
      </c>
      <c r="H9" s="5" t="s">
        <v>17</v>
      </c>
      <c r="I9" s="9" t="s">
        <v>71</v>
      </c>
      <c r="J9" s="4" t="s">
        <v>72</v>
      </c>
    </row>
    <row r="10" spans="1:10" ht="120" customHeight="1" x14ac:dyDescent="0.25">
      <c r="A10" s="2" t="s">
        <v>73</v>
      </c>
      <c r="B10" s="8" t="s">
        <v>65</v>
      </c>
      <c r="C10" s="4" t="s">
        <v>74</v>
      </c>
      <c r="D10" s="4" t="s">
        <v>75</v>
      </c>
      <c r="E10" s="4" t="s">
        <v>76</v>
      </c>
      <c r="F10" s="4" t="s">
        <v>77</v>
      </c>
      <c r="G10" s="4" t="s">
        <v>78</v>
      </c>
      <c r="H10" s="5" t="s">
        <v>17</v>
      </c>
      <c r="I10" s="9" t="s">
        <v>71</v>
      </c>
      <c r="J10" s="4" t="s">
        <v>79</v>
      </c>
    </row>
    <row r="11" spans="1:10" ht="120" customHeight="1" x14ac:dyDescent="0.25">
      <c r="A11" s="2" t="s">
        <v>80</v>
      </c>
      <c r="B11" s="8" t="s">
        <v>65</v>
      </c>
      <c r="C11" s="4" t="s">
        <v>81</v>
      </c>
      <c r="D11" s="4" t="s">
        <v>82</v>
      </c>
      <c r="E11" s="4" t="s">
        <v>83</v>
      </c>
      <c r="F11" s="4" t="s">
        <v>84</v>
      </c>
      <c r="G11" s="4" t="s">
        <v>85</v>
      </c>
      <c r="H11" s="7" t="s">
        <v>54</v>
      </c>
      <c r="I11" s="9" t="s">
        <v>71</v>
      </c>
      <c r="J11" s="4" t="s">
        <v>86</v>
      </c>
    </row>
    <row r="12" spans="1:10" ht="120" customHeight="1" x14ac:dyDescent="0.25">
      <c r="A12" s="2" t="s">
        <v>87</v>
      </c>
      <c r="B12" s="8" t="s">
        <v>65</v>
      </c>
      <c r="C12" s="4" t="s">
        <v>88</v>
      </c>
      <c r="D12" s="4" t="s">
        <v>89</v>
      </c>
      <c r="E12" s="4" t="s">
        <v>90</v>
      </c>
      <c r="F12" s="4" t="s">
        <v>91</v>
      </c>
      <c r="G12" s="4" t="s">
        <v>92</v>
      </c>
      <c r="H12" s="5" t="s">
        <v>17</v>
      </c>
      <c r="I12" s="6" t="s">
        <v>18</v>
      </c>
      <c r="J12" s="4" t="s">
        <v>93</v>
      </c>
    </row>
    <row r="13" spans="1:10" ht="120" customHeight="1" x14ac:dyDescent="0.25">
      <c r="A13" s="2" t="s">
        <v>94</v>
      </c>
      <c r="B13" s="8" t="s">
        <v>65</v>
      </c>
      <c r="C13" s="4" t="s">
        <v>95</v>
      </c>
      <c r="D13" s="4" t="s">
        <v>96</v>
      </c>
      <c r="E13" s="4" t="s">
        <v>97</v>
      </c>
      <c r="F13" s="4" t="s">
        <v>98</v>
      </c>
      <c r="G13" s="4" t="s">
        <v>99</v>
      </c>
      <c r="H13" s="7" t="s">
        <v>54</v>
      </c>
      <c r="I13" s="6" t="s">
        <v>18</v>
      </c>
      <c r="J13" s="4" t="s">
        <v>100</v>
      </c>
    </row>
    <row r="14" spans="1:10" ht="120" customHeight="1" x14ac:dyDescent="0.25">
      <c r="A14" s="2" t="s">
        <v>101</v>
      </c>
      <c r="B14" s="8" t="s">
        <v>65</v>
      </c>
      <c r="C14" s="4" t="s">
        <v>102</v>
      </c>
      <c r="D14" s="4" t="s">
        <v>103</v>
      </c>
      <c r="E14" s="4" t="s">
        <v>104</v>
      </c>
      <c r="F14" s="4" t="s">
        <v>105</v>
      </c>
      <c r="G14" s="4" t="s">
        <v>106</v>
      </c>
      <c r="H14" s="7" t="s">
        <v>54</v>
      </c>
      <c r="I14" s="9" t="s">
        <v>71</v>
      </c>
      <c r="J14" s="4" t="s">
        <v>107</v>
      </c>
    </row>
    <row r="15" spans="1:10" ht="120" customHeight="1" x14ac:dyDescent="0.25">
      <c r="A15" s="2" t="s">
        <v>108</v>
      </c>
      <c r="B15" s="10" t="s">
        <v>109</v>
      </c>
      <c r="C15" s="4" t="s">
        <v>110</v>
      </c>
      <c r="D15" s="4" t="s">
        <v>111</v>
      </c>
      <c r="E15" s="4" t="s">
        <v>112</v>
      </c>
      <c r="F15" s="4" t="s">
        <v>113</v>
      </c>
      <c r="G15" s="4" t="s">
        <v>114</v>
      </c>
      <c r="H15" s="5" t="s">
        <v>17</v>
      </c>
      <c r="I15" s="6" t="s">
        <v>18</v>
      </c>
      <c r="J15" s="4" t="s">
        <v>115</v>
      </c>
    </row>
    <row r="16" spans="1:10" ht="120" customHeight="1" x14ac:dyDescent="0.25">
      <c r="A16" s="2" t="s">
        <v>116</v>
      </c>
      <c r="B16" s="10" t="s">
        <v>109</v>
      </c>
      <c r="C16" s="4" t="s">
        <v>117</v>
      </c>
      <c r="D16" s="4" t="s">
        <v>118</v>
      </c>
      <c r="E16" s="4" t="s">
        <v>119</v>
      </c>
      <c r="F16" s="4" t="s">
        <v>120</v>
      </c>
      <c r="G16" s="4" t="s">
        <v>121</v>
      </c>
      <c r="H16" s="7" t="s">
        <v>54</v>
      </c>
      <c r="I16" s="5" t="s">
        <v>122</v>
      </c>
      <c r="J16" s="4" t="s">
        <v>123</v>
      </c>
    </row>
    <row r="17" spans="1:10" ht="120" customHeight="1" x14ac:dyDescent="0.25">
      <c r="A17" s="2" t="s">
        <v>124</v>
      </c>
      <c r="B17" s="10" t="s">
        <v>109</v>
      </c>
      <c r="C17" s="4" t="s">
        <v>125</v>
      </c>
      <c r="D17" s="4" t="s">
        <v>126</v>
      </c>
      <c r="E17" s="4" t="s">
        <v>127</v>
      </c>
      <c r="F17" s="4" t="s">
        <v>128</v>
      </c>
      <c r="G17" s="4" t="s">
        <v>129</v>
      </c>
      <c r="H17" s="5" t="s">
        <v>17</v>
      </c>
      <c r="I17" s="6" t="s">
        <v>18</v>
      </c>
      <c r="J17" s="4" t="s">
        <v>130</v>
      </c>
    </row>
    <row r="18" spans="1:10" ht="120" customHeight="1" x14ac:dyDescent="0.25">
      <c r="A18" s="2" t="s">
        <v>131</v>
      </c>
      <c r="B18" s="10" t="s">
        <v>109</v>
      </c>
      <c r="C18" s="4" t="s">
        <v>132</v>
      </c>
      <c r="D18" s="4" t="s">
        <v>133</v>
      </c>
      <c r="E18" s="4" t="s">
        <v>134</v>
      </c>
      <c r="F18" s="4" t="s">
        <v>135</v>
      </c>
      <c r="G18" s="4" t="s">
        <v>136</v>
      </c>
      <c r="H18" s="7" t="s">
        <v>54</v>
      </c>
      <c r="I18" s="7" t="s">
        <v>55</v>
      </c>
      <c r="J18" s="4" t="s">
        <v>137</v>
      </c>
    </row>
    <row r="19" spans="1:10" ht="120" customHeight="1" x14ac:dyDescent="0.25">
      <c r="A19" s="2" t="s">
        <v>138</v>
      </c>
      <c r="B19" s="10" t="s">
        <v>109</v>
      </c>
      <c r="C19" s="4" t="s">
        <v>139</v>
      </c>
      <c r="D19" s="4" t="s">
        <v>140</v>
      </c>
      <c r="E19" s="4" t="s">
        <v>141</v>
      </c>
      <c r="F19" s="4" t="s">
        <v>142</v>
      </c>
      <c r="G19" s="4" t="s">
        <v>143</v>
      </c>
      <c r="H19" s="7" t="s">
        <v>54</v>
      </c>
      <c r="I19" s="5" t="s">
        <v>122</v>
      </c>
      <c r="J19" s="4" t="s">
        <v>144</v>
      </c>
    </row>
    <row r="20" spans="1:10" ht="120" customHeight="1" x14ac:dyDescent="0.25">
      <c r="A20" s="2" t="s">
        <v>145</v>
      </c>
      <c r="B20" s="10" t="s">
        <v>109</v>
      </c>
      <c r="C20" s="4" t="s">
        <v>146</v>
      </c>
      <c r="D20" s="4" t="s">
        <v>147</v>
      </c>
      <c r="E20" s="4" t="s">
        <v>148</v>
      </c>
      <c r="F20" s="4" t="s">
        <v>149</v>
      </c>
      <c r="G20" s="4" t="s">
        <v>150</v>
      </c>
      <c r="H20" s="7" t="s">
        <v>54</v>
      </c>
      <c r="I20" s="9" t="s">
        <v>71</v>
      </c>
      <c r="J20" s="4" t="s">
        <v>151</v>
      </c>
    </row>
    <row r="21" spans="1:10" ht="120" customHeight="1" x14ac:dyDescent="0.25">
      <c r="A21" s="2" t="s">
        <v>152</v>
      </c>
      <c r="B21" s="11" t="s">
        <v>153</v>
      </c>
      <c r="C21" s="4" t="s">
        <v>154</v>
      </c>
      <c r="D21" s="4" t="s">
        <v>155</v>
      </c>
      <c r="E21" s="4" t="s">
        <v>156</v>
      </c>
      <c r="F21" s="4" t="s">
        <v>157</v>
      </c>
      <c r="G21" s="4" t="s">
        <v>158</v>
      </c>
      <c r="H21" s="5" t="s">
        <v>17</v>
      </c>
      <c r="I21" s="9" t="s">
        <v>71</v>
      </c>
      <c r="J21" s="4" t="s">
        <v>159</v>
      </c>
    </row>
    <row r="22" spans="1:10" ht="120" customHeight="1" x14ac:dyDescent="0.25">
      <c r="A22" s="2" t="s">
        <v>160</v>
      </c>
      <c r="B22" s="11" t="s">
        <v>153</v>
      </c>
      <c r="C22" s="4" t="s">
        <v>161</v>
      </c>
      <c r="D22" s="4" t="s">
        <v>162</v>
      </c>
      <c r="E22" s="4" t="s">
        <v>163</v>
      </c>
      <c r="F22" s="4" t="s">
        <v>164</v>
      </c>
      <c r="G22" s="4" t="s">
        <v>165</v>
      </c>
      <c r="H22" s="5" t="s">
        <v>17</v>
      </c>
      <c r="I22" s="7" t="s">
        <v>55</v>
      </c>
      <c r="J22" s="4" t="s">
        <v>166</v>
      </c>
    </row>
    <row r="23" spans="1:10" ht="120" customHeight="1" x14ac:dyDescent="0.25">
      <c r="A23" s="2" t="s">
        <v>167</v>
      </c>
      <c r="B23" s="11" t="s">
        <v>153</v>
      </c>
      <c r="C23" s="4" t="s">
        <v>168</v>
      </c>
      <c r="D23" s="4" t="s">
        <v>169</v>
      </c>
      <c r="E23" s="4" t="s">
        <v>170</v>
      </c>
      <c r="F23" s="4" t="s">
        <v>171</v>
      </c>
      <c r="G23" s="4" t="s">
        <v>172</v>
      </c>
      <c r="H23" s="7" t="s">
        <v>54</v>
      </c>
      <c r="I23" s="7" t="s">
        <v>55</v>
      </c>
      <c r="J23" s="4" t="s">
        <v>173</v>
      </c>
    </row>
    <row r="24" spans="1:10" ht="120" customHeight="1" x14ac:dyDescent="0.25">
      <c r="A24" s="2" t="s">
        <v>174</v>
      </c>
      <c r="B24" s="11" t="s">
        <v>153</v>
      </c>
      <c r="C24" s="4" t="s">
        <v>175</v>
      </c>
      <c r="D24" s="4" t="s">
        <v>176</v>
      </c>
      <c r="E24" s="4" t="s">
        <v>177</v>
      </c>
      <c r="F24" s="4" t="s">
        <v>178</v>
      </c>
      <c r="G24" s="4" t="s">
        <v>179</v>
      </c>
      <c r="H24" s="7" t="s">
        <v>54</v>
      </c>
      <c r="I24" s="5" t="s">
        <v>122</v>
      </c>
      <c r="J24" s="4" t="s">
        <v>180</v>
      </c>
    </row>
    <row r="25" spans="1:10" ht="120" customHeight="1" x14ac:dyDescent="0.25">
      <c r="A25" s="2" t="s">
        <v>181</v>
      </c>
      <c r="B25" s="11" t="s">
        <v>153</v>
      </c>
      <c r="C25" s="4" t="s">
        <v>182</v>
      </c>
      <c r="D25" s="4" t="s">
        <v>183</v>
      </c>
      <c r="E25" s="4" t="s">
        <v>184</v>
      </c>
      <c r="F25" s="4" t="s">
        <v>185</v>
      </c>
      <c r="G25" s="4" t="s">
        <v>186</v>
      </c>
      <c r="H25" s="5" t="s">
        <v>17</v>
      </c>
      <c r="I25" s="6" t="s">
        <v>18</v>
      </c>
      <c r="J25" s="4" t="s">
        <v>187</v>
      </c>
    </row>
    <row r="26" spans="1:10" ht="120" customHeight="1" x14ac:dyDescent="0.25">
      <c r="A26" s="2" t="s">
        <v>188</v>
      </c>
      <c r="B26" s="11" t="s">
        <v>153</v>
      </c>
      <c r="C26" s="4" t="s">
        <v>189</v>
      </c>
      <c r="D26" s="4" t="s">
        <v>190</v>
      </c>
      <c r="E26" s="4" t="s">
        <v>191</v>
      </c>
      <c r="F26" s="4" t="s">
        <v>192</v>
      </c>
      <c r="G26" s="4" t="s">
        <v>193</v>
      </c>
      <c r="H26" s="7" t="s">
        <v>54</v>
      </c>
      <c r="I26" s="5" t="s">
        <v>122</v>
      </c>
      <c r="J26" s="4" t="s">
        <v>194</v>
      </c>
    </row>
  </sheetData>
  <autoFilter ref="A1:J2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workbookViewId="0">
      <pane ySplit="2" topLeftCell="A3" activePane="bottomLeft" state="frozen"/>
      <selection pane="bottomLeft" sqref="A1:C1"/>
    </sheetView>
  </sheetViews>
  <sheetFormatPr baseColWidth="10" defaultColWidth="9.140625" defaultRowHeight="15" x14ac:dyDescent="0.25"/>
  <cols>
    <col min="1" max="1" width="34" customWidth="1"/>
    <col min="2" max="2" width="14" customWidth="1"/>
    <col min="3" max="3" width="24" customWidth="1"/>
  </cols>
  <sheetData>
    <row r="1" spans="1:3" ht="26.1" customHeight="1" x14ac:dyDescent="0.25">
      <c r="A1" s="21" t="s">
        <v>195</v>
      </c>
      <c r="B1" s="20"/>
      <c r="C1" s="20"/>
    </row>
    <row r="2" spans="1:3" x14ac:dyDescent="0.25">
      <c r="A2" s="12" t="s">
        <v>196</v>
      </c>
      <c r="B2" s="13"/>
      <c r="C2" s="13"/>
    </row>
    <row r="3" spans="1:3" x14ac:dyDescent="0.25">
      <c r="A3" s="14" t="s">
        <v>11</v>
      </c>
      <c r="B3" s="15">
        <f>COUNTIF('Requisitos no funcionales'!B2:B26,"Seguridad")</f>
        <v>7</v>
      </c>
      <c r="C3" s="15">
        <f>COUNTIF('Requisitos no funcionales'!A2:A26,"RNF-SEG-*")</f>
        <v>7</v>
      </c>
    </row>
    <row r="4" spans="1:3" x14ac:dyDescent="0.25">
      <c r="A4" s="14" t="s">
        <v>65</v>
      </c>
      <c r="B4" s="15">
        <f>COUNTIF('Requisitos no funcionales'!B2:B26,"Rendimiento")</f>
        <v>6</v>
      </c>
      <c r="C4" s="15">
        <f>COUNTIF('Requisitos no funcionales'!A2:A26,"RNF-REN-*")</f>
        <v>6</v>
      </c>
    </row>
    <row r="5" spans="1:3" x14ac:dyDescent="0.25">
      <c r="A5" s="14" t="s">
        <v>109</v>
      </c>
      <c r="B5" s="15">
        <f>COUNTIF('Requisitos no funcionales'!B2:B26,"Escalabilidad")</f>
        <v>6</v>
      </c>
      <c r="C5" s="15">
        <f>COUNTIF('Requisitos no funcionales'!A2:A26,"RNF-ESC-*")</f>
        <v>6</v>
      </c>
    </row>
    <row r="6" spans="1:3" x14ac:dyDescent="0.25">
      <c r="A6" s="14" t="s">
        <v>153</v>
      </c>
      <c r="B6" s="15">
        <f>COUNTIF('Requisitos no funcionales'!B2:B26,"Disponibilidad")</f>
        <v>6</v>
      </c>
      <c r="C6" s="15">
        <f>COUNTIF('Requisitos no funcionales'!A2:A26,"RNF-DIS-*")</f>
        <v>6</v>
      </c>
    </row>
    <row r="7" spans="1:3" x14ac:dyDescent="0.25">
      <c r="A7" s="16" t="s">
        <v>197</v>
      </c>
      <c r="B7" s="16">
        <f>SUM(B3:B6)</f>
        <v>25</v>
      </c>
      <c r="C7" s="16">
        <f>SUM(C3:C6)</f>
        <v>25</v>
      </c>
    </row>
    <row r="9" spans="1:3" x14ac:dyDescent="0.25">
      <c r="A9" s="12" t="s">
        <v>198</v>
      </c>
      <c r="B9" s="13"/>
      <c r="C9" s="13"/>
    </row>
    <row r="10" spans="1:3" x14ac:dyDescent="0.25">
      <c r="A10" s="14" t="s">
        <v>17</v>
      </c>
      <c r="B10" s="15">
        <f>COUNTIF('Requisitos no funcionales'!H2:H26,"Alta")</f>
        <v>14</v>
      </c>
    </row>
    <row r="11" spans="1:3" x14ac:dyDescent="0.25">
      <c r="A11" s="14" t="s">
        <v>54</v>
      </c>
      <c r="B11" s="15">
        <f>COUNTIF('Requisitos no funcionales'!H2:H26,"Media")</f>
        <v>11</v>
      </c>
    </row>
    <row r="12" spans="1:3" x14ac:dyDescent="0.25">
      <c r="A12" s="14" t="s">
        <v>199</v>
      </c>
      <c r="B12" s="15">
        <f>COUNTIF('Requisitos no funcionales'!H2:H26,"Baja")</f>
        <v>0</v>
      </c>
    </row>
    <row r="13" spans="1:3" x14ac:dyDescent="0.25">
      <c r="A13" s="17" t="s">
        <v>197</v>
      </c>
      <c r="B13" s="17">
        <f>SUM(B10:B12)</f>
        <v>25</v>
      </c>
      <c r="C13" s="15"/>
    </row>
    <row r="15" spans="1:3" x14ac:dyDescent="0.25">
      <c r="A15" s="12" t="s">
        <v>200</v>
      </c>
      <c r="B15" s="13"/>
      <c r="C15" s="13"/>
    </row>
    <row r="16" spans="1:3" x14ac:dyDescent="0.25">
      <c r="A16" s="14" t="s">
        <v>18</v>
      </c>
      <c r="B16" s="15">
        <f>COUNTIF('Requisitos no funcionales'!I2:I26,"Implementado")</f>
        <v>11</v>
      </c>
    </row>
    <row r="17" spans="1:3" x14ac:dyDescent="0.25">
      <c r="A17" s="14" t="s">
        <v>55</v>
      </c>
      <c r="B17" s="15">
        <f>COUNTIF('Requisitos no funcionales'!I2:I26,"Parcialmente implementado")</f>
        <v>4</v>
      </c>
    </row>
    <row r="18" spans="1:3" x14ac:dyDescent="0.25">
      <c r="A18" s="14" t="s">
        <v>122</v>
      </c>
      <c r="B18" s="15">
        <f>COUNTIF('Requisitos no funcionales'!I2:I26,"Pendiente de implementación")</f>
        <v>4</v>
      </c>
    </row>
    <row r="19" spans="1:3" x14ac:dyDescent="0.25">
      <c r="A19" s="14" t="s">
        <v>71</v>
      </c>
      <c r="B19" s="15">
        <f>COUNTIF('Requisitos no funcionales'!I2:I26,"Por verificar")</f>
        <v>6</v>
      </c>
    </row>
    <row r="20" spans="1:3" x14ac:dyDescent="0.25">
      <c r="A20" s="17" t="s">
        <v>197</v>
      </c>
      <c r="B20" s="17">
        <f>SUM(B16:B19)</f>
        <v>25</v>
      </c>
      <c r="C20" s="15"/>
    </row>
    <row r="22" spans="1:3" x14ac:dyDescent="0.25">
      <c r="A22" s="18" t="s">
        <v>201</v>
      </c>
    </row>
    <row r="23" spans="1:3" ht="27.95" customHeight="1" x14ac:dyDescent="0.25">
      <c r="A23" s="19" t="s">
        <v>202</v>
      </c>
      <c r="B23" s="20"/>
      <c r="C23" s="20"/>
    </row>
    <row r="24" spans="1:3" ht="27.95" customHeight="1" x14ac:dyDescent="0.25">
      <c r="A24" s="19" t="s">
        <v>203</v>
      </c>
      <c r="B24" s="20"/>
      <c r="C24" s="20"/>
    </row>
    <row r="25" spans="1:3" ht="27.95" customHeight="1" x14ac:dyDescent="0.25">
      <c r="A25" s="19" t="s">
        <v>204</v>
      </c>
      <c r="B25" s="20"/>
      <c r="C25" s="20"/>
    </row>
    <row r="26" spans="1:3" ht="27.95" customHeight="1" x14ac:dyDescent="0.25">
      <c r="A26" s="19" t="s">
        <v>205</v>
      </c>
      <c r="B26" s="20"/>
      <c r="C26" s="20"/>
    </row>
    <row r="27" spans="1:3" ht="27.95" customHeight="1" x14ac:dyDescent="0.25">
      <c r="A27" s="19" t="s">
        <v>206</v>
      </c>
      <c r="B27" s="20"/>
      <c r="C27" s="20"/>
    </row>
    <row r="28" spans="1:3" ht="27.95" customHeight="1" x14ac:dyDescent="0.25">
      <c r="A28" s="19" t="s">
        <v>207</v>
      </c>
      <c r="B28" s="20"/>
      <c r="C28" s="20"/>
    </row>
  </sheetData>
  <mergeCells count="7">
    <mergeCell ref="A25:C25"/>
    <mergeCell ref="A28:C28"/>
    <mergeCell ref="A1:C1"/>
    <mergeCell ref="A23:C23"/>
    <mergeCell ref="A27:C27"/>
    <mergeCell ref="A26:C26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Requisitos no funcionales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BELEN DEL CARMEN DIAZ FUENTES</cp:lastModifiedBy>
  <dcterms:created xsi:type="dcterms:W3CDTF">2026-10-13T22:46:18Z</dcterms:created>
  <dcterms:modified xsi:type="dcterms:W3CDTF">2026-10-13T22:48:27Z</dcterms:modified>
</cp:coreProperties>
</file>